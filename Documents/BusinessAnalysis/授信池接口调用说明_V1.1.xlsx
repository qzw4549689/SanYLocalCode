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23860" activeTab="5"/>
  </bookViews>
  <sheets>
    <sheet name="接口概览" sheetId="1" r:id="rId1"/>
    <sheet name="①使用授信-入参" sheetId="2" r:id="rId2"/>
    <sheet name="①使用授信-返回" sheetId="3" r:id="rId3"/>
    <sheet name="①使用授信-幂等与场景" sheetId="4" r:id="rId4"/>
    <sheet name="②查询授信-入参" sheetId="5" r:id="rId5"/>
    <sheet name="②查询授信-返回" sheetId="6" r:id="rId6"/>
    <sheet name="配置与示例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<sst xmlns="http://schemas.openxmlformats.org/spreadsheetml/2006/main" count="247" uniqueCount="157">
  <si>
    <t>项目</t>
  </si>
  <si>
    <t>内容</t>
  </si>
  <si>
    <t>方案背景</t>
  </si>
  <si>
    <t>营销风控授信额度确认方案（816方案）：客户授信池 = 厂端授信 + 中信保授信，双池统一占用/释放管理</t>
  </si>
  <si>
    <t>接口形态</t>
  </si>
  <si>
    <t>D365 Custom API（D365 内部接口），鉴权用 D365 Application User</t>
  </si>
  <si>
    <t>接口清单</t>
  </si>
  <si>
    <t>① 使用授信 API：mcs_recordCreditDetail（占用/释放，哑记账）
② 查询授信 API：mcs_queryCreditBalance（客户维度查询，传合同附带合同授信金额）</t>
  </si>
  <si>
    <t>调用方</t>
  </si>
  <si>
    <t>使用授信：交货单、订单、解款记录（SAP/上游系统）
查询授信：合同模块</t>
  </si>
  <si>
    <t>核心原则</t>
  </si>
  <si>
    <t>哑记账：金额（含 max(0, 订单金额−累计解款)、ΔS 解款金额）全部由调用方算好传入，CRM 不做计算，只校验 + 幂等保存台账 + 更新余额</t>
  </si>
  <si>
    <t>大前提（调用方保证）</t>
  </si>
  <si>
    <t>1. 订单创建日期是 2026-09-03 之后；
2. 订单成交条件是赊销（中信保赊销、厂端授信）</t>
  </si>
  <si>
    <t>部署环境</t>
  </si>
  <si>
    <t>DEV1 / UAT （待发布）</t>
  </si>
  <si>
    <t>台账/额度落点</t>
  </si>
  <si>
    <t>台账统一写 mcs_fca_records（厂端授信额度动态调整管理台账表）；厂端余额走 mcs_fca_quota（不变式：授信额度=余额+占用）；中信保不落余额库，净占用由台账实时聚合</t>
  </si>
  <si>
    <t>文档版本</t>
  </si>
  <si>
    <t>v1.1</t>
  </si>
  <si>
    <t>参数名</t>
  </si>
  <si>
    <t>类型</t>
  </si>
  <si>
    <t>必填</t>
  </si>
  <si>
    <t>说明</t>
  </si>
  <si>
    <t>mcs_accountid</t>
  </si>
  <si>
    <t>String</t>
  </si>
  <si>
    <t>是</t>
  </si>
  <si>
    <t>客户编码（SAP客户代码），按客户主数据 mcs_sapnumber 匹配</t>
  </si>
  <si>
    <t>mcs_creditType</t>
  </si>
  <si>
    <t>否</t>
  </si>
  <si>
    <t>授信类型：FACTORY=厂端授信 / SINOSURE=中信保授信；不传默认 FACTORY</t>
  </si>
  <si>
    <t>mcs_usebalanceUSD</t>
  </si>
  <si>
    <t>Decimal</t>
  </si>
  <si>
    <t>使用或者释放的授信金额美元（≥0）</t>
  </si>
  <si>
    <t>mcs_usebalanceCNY</t>
  </si>
  <si>
    <t>使用或者释放的授信金额人民币（≥0，快照保存）</t>
  </si>
  <si>
    <t>mcs_proccess</t>
  </si>
  <si>
    <t>流程环节 1-12：
1厂端授信模型计算 / 2厂端授信限额额度申请 / 3厂端授信限额归零调整 / 4提交合同评审 / 5合同变更信用类别 / 6合同取消 / 7订单执行验收 / 8订单变更信用类别 / 9回款解款 / 10订单退货 / 11订单取消 / 12其他（保留）
1-2 由客户厂端授信管理PRD覆盖；3-8 由授信额度动态运用管理PRD覆盖</t>
  </si>
  <si>
    <t>mcs_adjust</t>
  </si>
  <si>
    <t>额度调整动作：1=初始化 / 3=占用 / 4=释放
初始化仅限环节 1/2，且仅 FACTORY 支持</t>
  </si>
  <si>
    <t>mcs_contractid</t>
  </si>
  <si>
    <t>条件必填</t>
  </si>
  <si>
    <t>合同编码（mcs_contract.mcs_name）；环节 ≥3 时必填</t>
  </si>
  <si>
    <t>mcs_orderid</t>
  </si>
  <si>
    <t>订单编码（mcs_order.mcs_name）；环节 6-10 时必填</t>
  </si>
  <si>
    <t>mcs_deliveryordid</t>
  </si>
  <si>
    <t>发货单编码；环节 7（订单执行验收）必填
（对方接口表原写 mcs_delivery ordid 带空格系笔误，以此为准）</t>
  </si>
  <si>
    <t>mcs_settle_id</t>
  </si>
  <si>
    <t>解款单明细guid；环节 9（回款解款）必填，解款类幂等键</t>
  </si>
  <si>
    <t>mcs_settle_no</t>
  </si>
  <si>
    <t>解款单号；环节 9（回款解款）必填</t>
  </si>
  <si>
    <t>客户编码（请求参数原样回显）</t>
  </si>
  <si>
    <t>mcs_usebalance</t>
  </si>
  <si>
    <t>调整授信金额USD（请求参数 mcs_usebalanceUSD 原样回显）</t>
  </si>
  <si>
    <t>流程环节（请求参数原样回显）</t>
  </si>
  <si>
    <t>额度调整动作（请求参数原样回显）</t>
  </si>
  <si>
    <t>合同编码（请求参数原样回显）</t>
  </si>
  <si>
    <t>订单编码（请求参数原样回显）</t>
  </si>
  <si>
    <t>mcs_usedbalance</t>
  </si>
  <si>
    <t>实际调整授信金额USD，失败时 0.00</t>
  </si>
  <si>
    <t>mcs_sellerbalance</t>
  </si>
  <si>
    <t>调整后授信余额USD（允许负数，表示超额）
FACTORY=厂端授信余额；SINOSURE=信保上浮余额（=上浮限额−净占用）</t>
  </si>
  <si>
    <t>mcs_usedflag</t>
  </si>
  <si>
    <t>是否调整成功：1 成功 / 0 失败</t>
  </si>
  <si>
    <t>mcs_recordid</t>
  </si>
  <si>
    <t>台账编号（FCR+YYYYMMDD+5位序列号，成功时填入）</t>
  </si>
  <si>
    <t>mcs_failreason</t>
  </si>
  <si>
    <t>使用失败原因（失败时填入）</t>
  </si>
  <si>
    <t>幂等机制</t>
  </si>
  <si>
    <t>重复调用不重复记账，直接返回首次处理结果（mcs_usedflag=1 + 首次台账编号）</t>
  </si>
  <si>
    <t>幂等键规则</t>
  </si>
  <si>
    <t>解款类：mcs_settle_id（解款明细guid，天然唯一）
发货类：发货单编码+环节+动作
兜底：合同编码+订单编码+环节+动作+金额USD</t>
  </si>
  <si>
    <t>场景1 发货单推出</t>
  </si>
  <si>
    <t>模块=发货单，事件=占用，金额=max(0, 交货单对应订单金额−订单累计解款金额)
触发：SAP交货单过账（数据同步CRM，交付状态=已发货）
调用：proccess=7, adjust=3，传合同+订单+发货单编码</t>
  </si>
  <si>
    <t>场景2 发货单取消</t>
  </si>
  <si>
    <t>模块=发货单，事件=释放（前提：取消的发货单有占用授信）
触发：取消过账
调用：proccess=7, adjust=4，传合同+订单+发货单编码</t>
  </si>
  <si>
    <t>场景3 退货订单</t>
  </si>
  <si>
    <t>模块=订单，事件=释放（前提：对应订单有推交货单）
触发：退货过账从SAP同步至CRM且状态=已发货
调用：proccess=10, adjust=4，传合同+订单</t>
  </si>
  <si>
    <t>场景4 退货订单取消</t>
  </si>
  <si>
    <t>模块=订单，事件=占用（前提：对应退货订单有释放授信）
调用：proccess=10, adjust=3，传合同+订单</t>
  </si>
  <si>
    <t>场景5 解款</t>
  </si>
  <si>
    <t>模块=财务，事件=释放，金额=ΔS（解款金额）
触发：SAP生成财务凭证后同步至CRM
调用：proccess=9, adjust=4，传合同+订单+解款单号+解款明细guid</t>
  </si>
  <si>
    <t>场景6 解款红冲</t>
  </si>
  <si>
    <t>模块=财务，事件=占用，金额=ΔS（解款红冲金额）
触发：SAP生成红冲财务凭证后同步至CRM
调用：proccess=9, adjust=3，传合同+订单+解款单号+解款明细guid</t>
  </si>
  <si>
    <t>超额处理</t>
  </si>
  <si>
    <t>余额允许负数（表示超额），不拦截；释放金额超过累计占用时，厂端占用金额字段按 0 兜底（余额照常累加）</t>
  </si>
  <si>
    <t>失败处理</t>
  </si>
  <si>
    <t>入参校验失败/客户、合同、订单找不到/额度不存在或未生效：mcs_usedflag=0 + mcs_failreason 具体原因，不写台账、额度自动回滚</t>
  </si>
  <si>
    <t>客户编码（SAP客户代码），根据客户编码查询授信相关信息</t>
  </si>
  <si>
    <t>合同编码（mcs_contract.mcs_name），选传；传了则额外返回合同授信金额</t>
  </si>
  <si>
    <t>取数来源</t>
  </si>
  <si>
    <t>客户编码（回显）</t>
  </si>
  <si>
    <t>入参回显</t>
  </si>
  <si>
    <t>合同编码（回显）</t>
  </si>
  <si>
    <t>mcs_credit_limit_usd</t>
  </si>
  <si>
    <t>授信金额USD（传了合同编码才查）</t>
  </si>
  <si>
    <t>合同实体授信金额字段（字段未落地，暂返回 0）</t>
  </si>
  <si>
    <t>mcs_credit_limit_cny</t>
  </si>
  <si>
    <t>授信金额CNY（传了合同编码才查）</t>
  </si>
  <si>
    <t>同上</t>
  </si>
  <si>
    <t>mcs_sinosure_limit_usd</t>
  </si>
  <si>
    <t>中信保批复限额USD</t>
  </si>
  <si>
    <t>mcs_approvedquota 有效记录（quotastate=1+生效失效区间）按客户汇总 mcs_quotasum，T+1 同步</t>
  </si>
  <si>
    <t>mcs_sinosure_limit_cny</t>
  </si>
  <si>
    <t>中信保批复限额CNY</t>
  </si>
  <si>
    <t>USD × 汇率实时计算</t>
  </si>
  <si>
    <t>mcs_sinosure_balance_usd</t>
  </si>
  <si>
    <t>中信保批复限额余额USD</t>
  </si>
  <si>
    <t>mcs_approvedquota.mcs_quotabalance 汇总（中信保 T+1 动态余额，仅参考）</t>
  </si>
  <si>
    <t>mcs_sinosure_balance_cny</t>
  </si>
  <si>
    <t>中信保批复限额余额CNY</t>
  </si>
  <si>
    <t>mcs_sinosure_uplift_limit_usd</t>
  </si>
  <si>
    <t>中信保批复限额上浮限额USD</t>
  </si>
  <si>
    <t>min(批复限额 × 1.5, 8M)；排除国家不上浮（=批复限额）；系数/封顶/国家清单走配置 SinosureUpliftConfig</t>
  </si>
  <si>
    <t>mcs_sinosure_uplift_limit_cny</t>
  </si>
  <si>
    <t>中信保批复限额上浮限额CNY</t>
  </si>
  <si>
    <t>mcs_sinosure_netused_usd</t>
  </si>
  <si>
    <t>中信保净占用额度USD</t>
  </si>
  <si>
    <t>台账 mcs_fca_records 实时聚合：credit_type=2，Σ占用 − Σ释放</t>
  </si>
  <si>
    <t>mcs_sinosure_netused_cny</t>
  </si>
  <si>
    <t>中信保净占用额度CNY</t>
  </si>
  <si>
    <t>mcs_sinosure_uplift_balance_usd</t>
  </si>
  <si>
    <t>中信保批复限额上浮余额USD</t>
  </si>
  <si>
    <t>上浮限额 − 净占用(允许负数)</t>
  </si>
  <si>
    <t>mcs_sinosure_uplift_balance_cny</t>
  </si>
  <si>
    <t>中信保批复限额上浮余额CNY</t>
  </si>
  <si>
    <t>mcs_factory_limit_usd</t>
  </si>
  <si>
    <t>客户交易基线额度USD</t>
  </si>
  <si>
    <t>mcs_fca_quota.mcs_sellergrant（厂端授信额度）</t>
  </si>
  <si>
    <t>mcs_factory_limit_cny</t>
  </si>
  <si>
    <t>客户交易基线额度CNY</t>
  </si>
  <si>
    <t>mcs_factory_balance_usd</t>
  </si>
  <si>
    <t>客户交易基线余额USD</t>
  </si>
  <si>
    <t>mcs_fca_quota.mcs_sellerbalance（厂端授信余额）</t>
  </si>
  <si>
    <t>mcs_factory_balance_cny</t>
  </si>
  <si>
    <t>客户交易基线余额CNY</t>
  </si>
  <si>
    <t>mcs_risk_exposure_usd</t>
  </si>
  <si>
    <t>客户风险敞口USD</t>
  </si>
  <si>
    <t>mcs_risk_exposure_cny</t>
  </si>
  <si>
    <t>客户风险敞口CNY</t>
  </si>
  <si>
    <t>mcs_signing_occupy_usd</t>
  </si>
  <si>
    <t>客户签约占用USD</t>
  </si>
  <si>
    <t>取数来源待业务确认（816 划归合同模块），暂返回 0</t>
  </si>
  <si>
    <t>mcs_signing_occupy_cny</t>
  </si>
  <si>
    <t>客户签约占用CNY</t>
  </si>
  <si>
    <t>同上，暂返回 0</t>
  </si>
  <si>
    <t>是否查询成功：1 成功 / 0 失败</t>
  </si>
  <si>
    <t>—</t>
  </si>
  <si>
    <t>查询失败原因（客户/合同找不到等）</t>
  </si>
  <si>
    <t>上浮配置（各环境手动建）</t>
  </si>
  <si>
    <t>实体 ms_systemconfiguration，记录名 SinosureUpliftConfig，内容为 JSON：
{"factor":1.5,"cap":8000000,"excludedCountries":["IR","KP"]}
factor=上浮系数（默认1.5）；cap=上浮封顶USD（默认8M）；excludedCountries=不上浮国家代码清单（客户主数据 mcs_countrycode 匹配）；不建记录按默认值跑</t>
  </si>
  <si>
    <t>C# 调用示例（使用授信）</t>
  </si>
  <si>
    <t>var req = new OrganizationRequest("mcs_recordCreditDetail");
req["mcs_accountid"] = "0210000680";
req["mcs_creditType"] = "FACTORY";
req["mcs_usebalanceUSD"] = 30000m;
req["mcs_usebalanceCNY"] = 213000m;
req["mcs_proccess"] = "7";
req["mcs_adjust"] = "3";
req["mcs_contractid"] = "HT2026001";
req["mcs_orderid"] = "SO2026001";
req["mcs_deliveryordid"] = "DEL2026001";
var resp = service.Execute(req);
// resp["mcs_usedflag"] == "1" 成功</t>
  </si>
  <si>
    <t>C# 调用示例（查询授信）</t>
  </si>
  <si>
    <t>var req = new OrganizationRequest("mcs_queryCreditBalance");
req["mcs_accountid"] = "0210000680";
req["mcs_contractid"] = "HT2026001"; // 选传
var resp = service.Execute(req);
// resp["mcs_sinosure_uplift_balance_usd"] 信保上浮余额
// resp["mcs_factory_balance_usd"] 厂端基线余额</t>
  </si>
  <si>
    <t>待确认事项</t>
  </si>
  <si>
    <t>① 合同授信金额字段（mcs_credit_limit_usd/cny）在合同实体尚未落地，落地前查询返回 0；
② 客户签约占用取数来源待业务确认，暂返回 0；
③ 查询接口出参命名 mcs_sinosure_uplift_limit_*/netused_*/uplift_balance_* 为对方表格重名描述的区分命名，联调前请与对方核对契约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</si>
</sst>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18" sqref="B18"/>
    </sheetView>
  </sheetViews>
  <sheetFormatPr defaultColWidth="9" defaultRowHeight="16.8" outlineLevelCol="1"/>
  <cols>
    <col min="1" max="1" width="22" customWidth="1"/>
    <col min="2" max="2" width="100" customWidth="1"/>
  </cols>
  <sheetData>
    <row r="1" ht="17" spans="1:2">
      <c r="A1" s="1" t="s">
        <v>0</v>
      </c>
      <c r="B1" s="1" t="s">
        <v>1</v>
      </c>
    </row>
    <row r="2" ht="34" spans="1:2">
      <c r="A2" s="2" t="s">
        <v>2</v>
      </c>
      <c r="B2" s="2" t="s">
        <v>3</v>
      </c>
    </row>
    <row r="3" ht="17" spans="1:2">
      <c r="A3" s="2" t="s">
        <v>4</v>
      </c>
      <c r="B3" s="2" t="s">
        <v>5</v>
      </c>
    </row>
    <row r="4" ht="34" spans="1:2">
      <c r="A4" s="2" t="s">
        <v>6</v>
      </c>
      <c r="B4" s="2" t="s">
        <v>7</v>
      </c>
    </row>
    <row r="5" ht="34" spans="1:2">
      <c r="A5" s="2" t="s">
        <v>8</v>
      </c>
      <c r="B5" s="2" t="s">
        <v>9</v>
      </c>
    </row>
    <row r="6" ht="34" spans="1:2">
      <c r="A6" s="2" t="s">
        <v>10</v>
      </c>
      <c r="B6" s="2" t="s">
        <v>11</v>
      </c>
    </row>
    <row r="7" ht="34" spans="1:2">
      <c r="A7" s="2" t="s">
        <v>12</v>
      </c>
      <c r="B7" s="2" t="s">
        <v>13</v>
      </c>
    </row>
    <row r="8" ht="17" spans="1:2">
      <c r="A8" s="2" t="s">
        <v>14</v>
      </c>
      <c r="B8" s="2" t="s">
        <v>15</v>
      </c>
    </row>
    <row r="9" ht="34" spans="1:2">
      <c r="A9" s="2" t="s">
        <v>16</v>
      </c>
      <c r="B9" s="2" t="s">
        <v>17</v>
      </c>
    </row>
    <row r="10" ht="17" spans="1:2">
      <c r="A10" s="2" t="s">
        <v>18</v>
      </c>
      <c r="B10" s="2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C20" sqref="C20"/>
    </sheetView>
  </sheetViews>
  <sheetFormatPr defaultColWidth="9" defaultRowHeight="16.8" outlineLevelCol="3"/>
  <cols>
    <col min="1" max="1" width="22" customWidth="1"/>
    <col min="2" max="2" width="10" customWidth="1"/>
    <col min="3" max="3" width="12" customWidth="1"/>
    <col min="4" max="4" width="90" customWidth="1"/>
  </cols>
  <sheetData>
    <row r="1" ht="17" spans="1:4">
      <c r="A1" s="1" t="s">
        <v>20</v>
      </c>
      <c r="B1" s="1" t="s">
        <v>21</v>
      </c>
      <c r="C1" s="1" t="s">
        <v>22</v>
      </c>
      <c r="D1" s="1" t="s">
        <v>23</v>
      </c>
    </row>
    <row r="2" ht="17" spans="1:4">
      <c r="A2" s="2" t="s">
        <v>24</v>
      </c>
      <c r="B2" s="2" t="s">
        <v>25</v>
      </c>
      <c r="C2" s="2" t="s">
        <v>26</v>
      </c>
      <c r="D2" s="2" t="s">
        <v>27</v>
      </c>
    </row>
    <row r="3" ht="17" spans="1:4">
      <c r="A3" s="2" t="s">
        <v>28</v>
      </c>
      <c r="B3" s="2" t="s">
        <v>25</v>
      </c>
      <c r="C3" s="2" t="s">
        <v>29</v>
      </c>
      <c r="D3" s="2" t="s">
        <v>30</v>
      </c>
    </row>
    <row r="4" ht="17" spans="1:4">
      <c r="A4" s="2" t="s">
        <v>31</v>
      </c>
      <c r="B4" s="2" t="s">
        <v>32</v>
      </c>
      <c r="C4" s="2" t="s">
        <v>26</v>
      </c>
      <c r="D4" s="2" t="s">
        <v>33</v>
      </c>
    </row>
    <row r="5" ht="17" spans="1:4">
      <c r="A5" s="2" t="s">
        <v>34</v>
      </c>
      <c r="B5" s="2" t="s">
        <v>32</v>
      </c>
      <c r="C5" s="2" t="s">
        <v>26</v>
      </c>
      <c r="D5" s="2" t="s">
        <v>35</v>
      </c>
    </row>
    <row r="6" ht="84" spans="1:4">
      <c r="A6" s="2" t="s">
        <v>36</v>
      </c>
      <c r="B6" s="2" t="s">
        <v>25</v>
      </c>
      <c r="C6" s="2" t="s">
        <v>26</v>
      </c>
      <c r="D6" s="2" t="s">
        <v>37</v>
      </c>
    </row>
    <row r="7" ht="34" spans="1:4">
      <c r="A7" s="2" t="s">
        <v>38</v>
      </c>
      <c r="B7" s="2" t="s">
        <v>25</v>
      </c>
      <c r="C7" s="2" t="s">
        <v>26</v>
      </c>
      <c r="D7" s="2" t="s">
        <v>39</v>
      </c>
    </row>
    <row r="8" ht="17" spans="1:4">
      <c r="A8" s="2" t="s">
        <v>40</v>
      </c>
      <c r="B8" s="2" t="s">
        <v>25</v>
      </c>
      <c r="C8" s="2" t="s">
        <v>41</v>
      </c>
      <c r="D8" s="2" t="s">
        <v>42</v>
      </c>
    </row>
    <row r="9" ht="17" spans="1:4">
      <c r="A9" s="2" t="s">
        <v>43</v>
      </c>
      <c r="B9" s="2" t="s">
        <v>25</v>
      </c>
      <c r="C9" s="2" t="s">
        <v>41</v>
      </c>
      <c r="D9" s="2" t="s">
        <v>44</v>
      </c>
    </row>
    <row r="10" ht="34" spans="1:4">
      <c r="A10" s="2" t="s">
        <v>45</v>
      </c>
      <c r="B10" s="2" t="s">
        <v>25</v>
      </c>
      <c r="C10" s="2" t="s">
        <v>41</v>
      </c>
      <c r="D10" s="2" t="s">
        <v>46</v>
      </c>
    </row>
    <row r="11" ht="17" spans="1:4">
      <c r="A11" s="2" t="s">
        <v>47</v>
      </c>
      <c r="B11" s="2" t="s">
        <v>25</v>
      </c>
      <c r="C11" s="2" t="s">
        <v>41</v>
      </c>
      <c r="D11" s="2" t="s">
        <v>48</v>
      </c>
    </row>
    <row r="12" ht="17" spans="1:4">
      <c r="A12" s="2" t="s">
        <v>49</v>
      </c>
      <c r="B12" s="2" t="s">
        <v>25</v>
      </c>
      <c r="C12" s="2" t="s">
        <v>41</v>
      </c>
      <c r="D12" s="2" t="s">
        <v>50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C17" sqref="C17"/>
    </sheetView>
  </sheetViews>
  <sheetFormatPr defaultColWidth="9" defaultRowHeight="16.8" outlineLevelCol="2"/>
  <cols>
    <col min="1" max="1" width="22" customWidth="1"/>
    <col min="2" max="2" width="10" customWidth="1"/>
    <col min="3" max="3" width="90" customWidth="1"/>
  </cols>
  <sheetData>
    <row r="1" ht="17" spans="1:3">
      <c r="A1" s="1" t="s">
        <v>20</v>
      </c>
      <c r="B1" s="1" t="s">
        <v>21</v>
      </c>
      <c r="C1" s="1" t="s">
        <v>23</v>
      </c>
    </row>
    <row r="2" ht="17" spans="1:3">
      <c r="A2" s="2" t="s">
        <v>24</v>
      </c>
      <c r="B2" s="2" t="s">
        <v>25</v>
      </c>
      <c r="C2" s="2" t="s">
        <v>51</v>
      </c>
    </row>
    <row r="3" ht="17" spans="1:3">
      <c r="A3" s="2" t="s">
        <v>52</v>
      </c>
      <c r="B3" s="2" t="s">
        <v>32</v>
      </c>
      <c r="C3" s="2" t="s">
        <v>53</v>
      </c>
    </row>
    <row r="4" ht="17" spans="1:3">
      <c r="A4" s="2" t="s">
        <v>36</v>
      </c>
      <c r="B4" s="2" t="s">
        <v>25</v>
      </c>
      <c r="C4" s="2" t="s">
        <v>54</v>
      </c>
    </row>
    <row r="5" ht="17" spans="1:3">
      <c r="A5" s="2" t="s">
        <v>38</v>
      </c>
      <c r="B5" s="2" t="s">
        <v>25</v>
      </c>
      <c r="C5" s="2" t="s">
        <v>55</v>
      </c>
    </row>
    <row r="6" ht="17" spans="1:3">
      <c r="A6" s="2" t="s">
        <v>40</v>
      </c>
      <c r="B6" s="2" t="s">
        <v>25</v>
      </c>
      <c r="C6" s="2" t="s">
        <v>56</v>
      </c>
    </row>
    <row r="7" ht="17" spans="1:3">
      <c r="A7" s="2" t="s">
        <v>43</v>
      </c>
      <c r="B7" s="2" t="s">
        <v>25</v>
      </c>
      <c r="C7" s="2" t="s">
        <v>57</v>
      </c>
    </row>
    <row r="8" ht="17" spans="1:3">
      <c r="A8" s="2" t="s">
        <v>58</v>
      </c>
      <c r="B8" s="2" t="s">
        <v>32</v>
      </c>
      <c r="C8" s="2" t="s">
        <v>59</v>
      </c>
    </row>
    <row r="9" ht="34" spans="1:3">
      <c r="A9" s="2" t="s">
        <v>60</v>
      </c>
      <c r="B9" s="2" t="s">
        <v>32</v>
      </c>
      <c r="C9" s="2" t="s">
        <v>61</v>
      </c>
    </row>
    <row r="10" ht="17" spans="1:3">
      <c r="A10" s="2" t="s">
        <v>62</v>
      </c>
      <c r="B10" s="2" t="s">
        <v>25</v>
      </c>
      <c r="C10" s="2" t="s">
        <v>63</v>
      </c>
    </row>
    <row r="11" ht="17" spans="1:3">
      <c r="A11" s="2" t="s">
        <v>64</v>
      </c>
      <c r="B11" s="2" t="s">
        <v>25</v>
      </c>
      <c r="C11" s="2" t="s">
        <v>65</v>
      </c>
    </row>
    <row r="12" ht="17" spans="1:3">
      <c r="A12" s="2" t="s">
        <v>66</v>
      </c>
      <c r="B12" s="2" t="s">
        <v>25</v>
      </c>
      <c r="C12" s="2" t="s">
        <v>67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B15" sqref="B15"/>
    </sheetView>
  </sheetViews>
  <sheetFormatPr defaultColWidth="9" defaultRowHeight="16.8" outlineLevelCol="1"/>
  <cols>
    <col min="1" max="1" width="24" customWidth="1"/>
    <col min="2" max="2" width="110" customWidth="1"/>
  </cols>
  <sheetData>
    <row r="1" ht="17" spans="1:2">
      <c r="A1" s="1" t="s">
        <v>0</v>
      </c>
      <c r="B1" s="1" t="s">
        <v>1</v>
      </c>
    </row>
    <row r="2" ht="17" spans="1:2">
      <c r="A2" s="2" t="s">
        <v>68</v>
      </c>
      <c r="B2" s="2" t="s">
        <v>69</v>
      </c>
    </row>
    <row r="3" ht="51" spans="1:2">
      <c r="A3" s="2" t="s">
        <v>70</v>
      </c>
      <c r="B3" s="2" t="s">
        <v>71</v>
      </c>
    </row>
    <row r="4" ht="51" spans="1:2">
      <c r="A4" s="2" t="s">
        <v>72</v>
      </c>
      <c r="B4" s="2" t="s">
        <v>73</v>
      </c>
    </row>
    <row r="5" ht="51" spans="1:2">
      <c r="A5" s="2" t="s">
        <v>74</v>
      </c>
      <c r="B5" s="2" t="s">
        <v>75</v>
      </c>
    </row>
    <row r="6" ht="51" spans="1:2">
      <c r="A6" s="2" t="s">
        <v>76</v>
      </c>
      <c r="B6" s="2" t="s">
        <v>77</v>
      </c>
    </row>
    <row r="7" ht="34" spans="1:2">
      <c r="A7" s="2" t="s">
        <v>78</v>
      </c>
      <c r="B7" s="2" t="s">
        <v>79</v>
      </c>
    </row>
    <row r="8" ht="51" spans="1:2">
      <c r="A8" s="2" t="s">
        <v>80</v>
      </c>
      <c r="B8" s="2" t="s">
        <v>81</v>
      </c>
    </row>
    <row r="9" ht="51" spans="1:2">
      <c r="A9" s="2" t="s">
        <v>82</v>
      </c>
      <c r="B9" s="2" t="s">
        <v>83</v>
      </c>
    </row>
    <row r="10" ht="17" spans="1:2">
      <c r="A10" s="2" t="s">
        <v>84</v>
      </c>
      <c r="B10" s="2" t="s">
        <v>85</v>
      </c>
    </row>
    <row r="11" ht="34" spans="1:2">
      <c r="A11" s="2" t="s">
        <v>86</v>
      </c>
      <c r="B11" s="2" t="s">
        <v>87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"/>
    </sheetView>
  </sheetViews>
  <sheetFormatPr defaultColWidth="9" defaultRowHeight="16.8" outlineLevelRow="2" outlineLevelCol="3"/>
  <cols>
    <col min="1" max="1" width="22" customWidth="1"/>
    <col min="2" max="2" width="10" customWidth="1"/>
    <col min="3" max="3" width="12" customWidth="1"/>
    <col min="4" max="4" width="90" customWidth="1"/>
  </cols>
  <sheetData>
    <row r="1" ht="17" spans="1:4">
      <c r="A1" s="1" t="s">
        <v>20</v>
      </c>
      <c r="B1" s="1" t="s">
        <v>21</v>
      </c>
      <c r="C1" s="1" t="s">
        <v>22</v>
      </c>
      <c r="D1" s="1" t="s">
        <v>23</v>
      </c>
    </row>
    <row r="2" ht="17" spans="1:4">
      <c r="A2" s="2" t="s">
        <v>24</v>
      </c>
      <c r="B2" s="2" t="s">
        <v>25</v>
      </c>
      <c r="C2" s="2" t="s">
        <v>26</v>
      </c>
      <c r="D2" s="2" t="s">
        <v>88</v>
      </c>
    </row>
    <row r="3" ht="17" spans="1:4">
      <c r="A3" s="2" t="s">
        <v>40</v>
      </c>
      <c r="B3" s="2" t="s">
        <v>25</v>
      </c>
      <c r="C3" s="2" t="s">
        <v>29</v>
      </c>
      <c r="D3" s="2" t="s">
        <v>89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workbookViewId="0">
      <selection activeCell="G17" sqref="G17"/>
    </sheetView>
  </sheetViews>
  <sheetFormatPr defaultColWidth="9" defaultRowHeight="16.8" outlineLevelCol="3"/>
  <cols>
    <col min="1" max="1" width="30" customWidth="1"/>
    <col min="2" max="2" width="10" customWidth="1"/>
    <col min="3" max="3" width="46" customWidth="1"/>
    <col min="4" max="4" width="60" customWidth="1"/>
  </cols>
  <sheetData>
    <row r="1" ht="17" spans="1:4">
      <c r="A1" s="1" t="s">
        <v>20</v>
      </c>
      <c r="B1" s="1" t="s">
        <v>21</v>
      </c>
      <c r="C1" s="1" t="s">
        <v>23</v>
      </c>
      <c r="D1" s="1" t="s">
        <v>90</v>
      </c>
    </row>
    <row r="2" ht="17" spans="1:4">
      <c r="A2" s="2" t="s">
        <v>24</v>
      </c>
      <c r="B2" s="2" t="s">
        <v>25</v>
      </c>
      <c r="C2" s="2" t="s">
        <v>91</v>
      </c>
      <c r="D2" s="2" t="s">
        <v>92</v>
      </c>
    </row>
    <row r="3" ht="17" spans="1:4">
      <c r="A3" s="2" t="s">
        <v>40</v>
      </c>
      <c r="B3" s="2" t="s">
        <v>25</v>
      </c>
      <c r="C3" s="2" t="s">
        <v>93</v>
      </c>
      <c r="D3" s="2" t="s">
        <v>92</v>
      </c>
    </row>
    <row r="4" ht="17" spans="1:4">
      <c r="A4" s="2" t="s">
        <v>94</v>
      </c>
      <c r="B4" s="2" t="s">
        <v>32</v>
      </c>
      <c r="C4" s="2" t="s">
        <v>95</v>
      </c>
      <c r="D4" s="2" t="s">
        <v>96</v>
      </c>
    </row>
    <row r="5" ht="17" spans="1:4">
      <c r="A5" s="2" t="s">
        <v>97</v>
      </c>
      <c r="B5" s="2" t="s">
        <v>32</v>
      </c>
      <c r="C5" s="2" t="s">
        <v>98</v>
      </c>
      <c r="D5" s="2" t="s">
        <v>99</v>
      </c>
    </row>
    <row r="6" ht="34" spans="1:4">
      <c r="A6" s="2" t="s">
        <v>100</v>
      </c>
      <c r="B6" s="2" t="s">
        <v>32</v>
      </c>
      <c r="C6" s="2" t="s">
        <v>101</v>
      </c>
      <c r="D6" s="2" t="s">
        <v>102</v>
      </c>
    </row>
    <row r="7" ht="17" spans="1:4">
      <c r="A7" s="2" t="s">
        <v>103</v>
      </c>
      <c r="B7" s="2" t="s">
        <v>32</v>
      </c>
      <c r="C7" s="2" t="s">
        <v>104</v>
      </c>
      <c r="D7" s="2" t="s">
        <v>105</v>
      </c>
    </row>
    <row r="8" ht="34" spans="1:4">
      <c r="A8" s="2" t="s">
        <v>106</v>
      </c>
      <c r="B8" s="2" t="s">
        <v>32</v>
      </c>
      <c r="C8" s="2" t="s">
        <v>107</v>
      </c>
      <c r="D8" s="2" t="s">
        <v>108</v>
      </c>
    </row>
    <row r="9" ht="17" spans="1:4">
      <c r="A9" s="2" t="s">
        <v>109</v>
      </c>
      <c r="B9" s="2" t="s">
        <v>32</v>
      </c>
      <c r="C9" s="2" t="s">
        <v>110</v>
      </c>
      <c r="D9" s="2" t="s">
        <v>105</v>
      </c>
    </row>
    <row r="10" ht="34" spans="1:4">
      <c r="A10" s="2" t="s">
        <v>111</v>
      </c>
      <c r="B10" s="2" t="s">
        <v>32</v>
      </c>
      <c r="C10" s="2" t="s">
        <v>112</v>
      </c>
      <c r="D10" s="2" t="s">
        <v>113</v>
      </c>
    </row>
    <row r="11" ht="17" spans="1:4">
      <c r="A11" s="2" t="s">
        <v>114</v>
      </c>
      <c r="B11" s="2" t="s">
        <v>32</v>
      </c>
      <c r="C11" s="2" t="s">
        <v>115</v>
      </c>
      <c r="D11" s="2" t="s">
        <v>105</v>
      </c>
    </row>
    <row r="12" ht="17" spans="1:4">
      <c r="A12" s="2" t="s">
        <v>116</v>
      </c>
      <c r="B12" s="2" t="s">
        <v>32</v>
      </c>
      <c r="C12" s="2" t="s">
        <v>117</v>
      </c>
      <c r="D12" s="2" t="s">
        <v>118</v>
      </c>
    </row>
    <row r="13" ht="17" spans="1:4">
      <c r="A13" s="2" t="s">
        <v>119</v>
      </c>
      <c r="B13" s="2" t="s">
        <v>32</v>
      </c>
      <c r="C13" s="2" t="s">
        <v>120</v>
      </c>
      <c r="D13" s="2" t="s">
        <v>105</v>
      </c>
    </row>
    <row r="14" ht="34" spans="1:4">
      <c r="A14" s="2" t="s">
        <v>121</v>
      </c>
      <c r="B14" s="2" t="s">
        <v>32</v>
      </c>
      <c r="C14" s="2" t="s">
        <v>122</v>
      </c>
      <c r="D14" s="2" t="s">
        <v>123</v>
      </c>
    </row>
    <row r="15" ht="34" spans="1:4">
      <c r="A15" s="2" t="s">
        <v>124</v>
      </c>
      <c r="B15" s="2" t="s">
        <v>32</v>
      </c>
      <c r="C15" s="2" t="s">
        <v>125</v>
      </c>
      <c r="D15" s="2" t="s">
        <v>105</v>
      </c>
    </row>
    <row r="16" ht="17" spans="1:4">
      <c r="A16" s="2" t="s">
        <v>126</v>
      </c>
      <c r="B16" s="2" t="s">
        <v>32</v>
      </c>
      <c r="C16" s="2" t="s">
        <v>127</v>
      </c>
      <c r="D16" s="2" t="s">
        <v>128</v>
      </c>
    </row>
    <row r="17" ht="17" spans="1:4">
      <c r="A17" s="2" t="s">
        <v>129</v>
      </c>
      <c r="B17" s="2" t="s">
        <v>32</v>
      </c>
      <c r="C17" s="2" t="s">
        <v>130</v>
      </c>
      <c r="D17" s="2" t="s">
        <v>105</v>
      </c>
    </row>
    <row r="18" ht="17" spans="1:4">
      <c r="A18" s="2" t="s">
        <v>131</v>
      </c>
      <c r="B18" s="2" t="s">
        <v>32</v>
      </c>
      <c r="C18" s="2" t="s">
        <v>132</v>
      </c>
      <c r="D18" s="2" t="s">
        <v>133</v>
      </c>
    </row>
    <row r="19" ht="17" spans="1:4">
      <c r="A19" s="2" t="s">
        <v>134</v>
      </c>
      <c r="B19" s="2" t="s">
        <v>32</v>
      </c>
      <c r="C19" s="2" t="s">
        <v>135</v>
      </c>
      <c r="D19" s="2" t="s">
        <v>105</v>
      </c>
    </row>
    <row r="20" ht="17" spans="1:4">
      <c r="A20" s="2" t="s">
        <v>136</v>
      </c>
      <c r="B20" s="2" t="s">
        <v>32</v>
      </c>
      <c r="C20" s="2" t="s">
        <v>137</v>
      </c>
      <c r="D20" s="2" t="e">
        <f>厂端授信净占用 mcs_fca_quota.mcs_usedsellerbalance</f>
        <v>#NAME?</v>
      </c>
    </row>
    <row r="21" ht="17" spans="1:4">
      <c r="A21" s="2" t="s">
        <v>138</v>
      </c>
      <c r="B21" s="2" t="s">
        <v>32</v>
      </c>
      <c r="C21" s="2" t="s">
        <v>139</v>
      </c>
      <c r="D21" s="2" t="s">
        <v>105</v>
      </c>
    </row>
    <row r="22" ht="17" spans="1:4">
      <c r="A22" s="2" t="s">
        <v>140</v>
      </c>
      <c r="B22" s="2" t="s">
        <v>32</v>
      </c>
      <c r="C22" s="2" t="s">
        <v>141</v>
      </c>
      <c r="D22" s="2" t="s">
        <v>142</v>
      </c>
    </row>
    <row r="23" ht="17" spans="1:4">
      <c r="A23" s="2" t="s">
        <v>143</v>
      </c>
      <c r="B23" s="2" t="s">
        <v>32</v>
      </c>
      <c r="C23" s="2" t="s">
        <v>144</v>
      </c>
      <c r="D23" s="2" t="s">
        <v>145</v>
      </c>
    </row>
    <row r="24" ht="17" spans="1:4">
      <c r="A24" s="2" t="s">
        <v>62</v>
      </c>
      <c r="B24" s="2" t="s">
        <v>25</v>
      </c>
      <c r="C24" s="2" t="s">
        <v>146</v>
      </c>
      <c r="D24" s="2" t="s">
        <v>147</v>
      </c>
    </row>
    <row r="25" ht="17" spans="1:4">
      <c r="A25" s="2" t="s">
        <v>66</v>
      </c>
      <c r="B25" s="2" t="s">
        <v>25</v>
      </c>
      <c r="C25" s="2" t="s">
        <v>148</v>
      </c>
      <c r="D25" s="2" t="s">
        <v>147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6.8" outlineLevelRow="4" outlineLevelCol="1"/>
  <cols>
    <col min="1" max="1" width="26" customWidth="1"/>
    <col min="2" max="2" width="110" customWidth="1"/>
  </cols>
  <sheetData>
    <row r="1" ht="17" spans="1:2">
      <c r="A1" s="1" t="s">
        <v>0</v>
      </c>
      <c r="B1" s="1" t="s">
        <v>1</v>
      </c>
    </row>
    <row r="2" ht="68" spans="1:2">
      <c r="A2" s="2" t="s">
        <v>149</v>
      </c>
      <c r="B2" s="2" t="s">
        <v>150</v>
      </c>
    </row>
    <row r="3" ht="202" spans="1:2">
      <c r="A3" s="2" t="s">
        <v>151</v>
      </c>
      <c r="B3" s="2" t="s">
        <v>152</v>
      </c>
    </row>
    <row r="4" ht="101" spans="1:2">
      <c r="A4" s="2" t="s">
        <v>153</v>
      </c>
      <c r="B4" s="2" t="s">
        <v>154</v>
      </c>
    </row>
    <row r="5" ht="68" spans="1:2">
      <c r="A5" s="2" t="s">
        <v>155</v>
      </c>
      <c r="B5" s="2" t="s">
        <v>156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接口概览</vt:lpstr>
      <vt:lpstr>①使用授信-入参</vt:lpstr>
      <vt:lpstr>①使用授信-返回</vt:lpstr>
      <vt:lpstr>①使用授信-幂等与场景</vt:lpstr>
      <vt:lpstr>②查询授信-入参</vt:lpstr>
      <vt:lpstr>②查询授信-返回</vt:lpstr>
      <vt:lpstr>配置与示例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PeterQiu</cp:lastModifiedBy>
  <dcterms:created xsi:type="dcterms:W3CDTF">2026-08-25T22:33:00Z</dcterms:created>
  <dcterms:modified xsi:type="dcterms:W3CDTF">2026-08-26T16:18:08Z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88352581D7F215B983378D6AA2834983_42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